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l\OneDrive\Escritorio\ITESO 8vo Semestre\Modelos de Crédito\Extra\"/>
    </mc:Choice>
  </mc:AlternateContent>
  <xr:revisionPtr revIDLastSave="0" documentId="13_ncr:1_{908D90EA-4466-4196-802E-7E4AC15ED3F2}" xr6:coauthVersionLast="47" xr6:coauthVersionMax="47" xr10:uidLastSave="{00000000-0000-0000-0000-000000000000}"/>
  <bookViews>
    <workbookView xWindow="-120" yWindow="-120" windowWidth="29040" windowHeight="15720" xr2:uid="{260F7398-944D-490D-BEBF-8B64710572E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<sst xmlns="http://schemas.openxmlformats.org/spreadsheetml/2006/main" count="307" uniqueCount="121">
  <si>
    <t>Variable</t>
  </si>
  <si>
    <t>Type</t>
  </si>
  <si>
    <t>Description</t>
  </si>
  <si>
    <t>Range / Values</t>
  </si>
  <si>
    <t>Age</t>
  </si>
  <si>
    <t>Numerical</t>
  </si>
  <si>
    <t>Age of the account holder</t>
  </si>
  <si>
    <t>18 – 100</t>
  </si>
  <si>
    <t>Occupation</t>
  </si>
  <si>
    <t>Categorical</t>
  </si>
  <si>
    <t>Customer’s professional occupation</t>
  </si>
  <si>
    <t>16 categories</t>
  </si>
  <si>
    <t>Annual_Income</t>
  </si>
  <si>
    <t>Declared annual income (USD)</t>
  </si>
  <si>
    <t>&gt; 0</t>
  </si>
  <si>
    <t>Monthly_Inhand_Salary</t>
  </si>
  <si>
    <t>Net monthly take-home salary (USD)</t>
  </si>
  <si>
    <t>Num_Bank_Accounts</t>
  </si>
  <si>
    <t>Number of active bank accounts</t>
  </si>
  <si>
    <t>0 – 20</t>
  </si>
  <si>
    <t>Num_Credit_Card</t>
  </si>
  <si>
    <t>Number of credit cards</t>
  </si>
  <si>
    <t>0 – 50</t>
  </si>
  <si>
    <t>Interest_Rate</t>
  </si>
  <si>
    <t>Average interest rate on loans (%)</t>
  </si>
  <si>
    <t>0 – 100</t>
  </si>
  <si>
    <t>Num_of_Loan</t>
  </si>
  <si>
    <t>Number of active loans</t>
  </si>
  <si>
    <t>Type_of_Loan</t>
  </si>
  <si>
    <t>Types of contracted loans</t>
  </si>
  <si>
    <t>Multi-label</t>
  </si>
  <si>
    <t>Delay_from_due_date</t>
  </si>
  <si>
    <t>Average number of days past due</t>
  </si>
  <si>
    <t>—</t>
  </si>
  <si>
    <t>Num_of_Delayed_Payment</t>
  </si>
  <si>
    <t>Number of recorded delayed payments</t>
  </si>
  <si>
    <t>≥ 0</t>
  </si>
  <si>
    <t>Changed_Credit_Limit</t>
  </si>
  <si>
    <t>Percentage change in credit limit</t>
  </si>
  <si>
    <t>Num_Credit_Inquiries</t>
  </si>
  <si>
    <t>Number of recent credit inquiries</t>
  </si>
  <si>
    <t>Credit_Mix</t>
  </si>
  <si>
    <t>Quality of the credit mix</t>
  </si>
  <si>
    <t>Good / Standard / Bad</t>
  </si>
  <si>
    <t>Outstanding_Debt</t>
  </si>
  <si>
    <t>Total outstanding debt (USD)</t>
  </si>
  <si>
    <t>Credit_Utilization_Ratio</t>
  </si>
  <si>
    <t>Credit utilization ratio (%)</t>
  </si>
  <si>
    <t>Credit_History_Age</t>
  </si>
  <si>
    <t>Length of credit history (years)</t>
  </si>
  <si>
    <t>Payment_of_Min_Amount</t>
  </si>
  <si>
    <t>Binary</t>
  </si>
  <si>
    <t>Indicates whether only the minimum payment is made</t>
  </si>
  <si>
    <t>Yes / No</t>
  </si>
  <si>
    <t>Total_EMI_per_month</t>
  </si>
  <si>
    <t>Total monthly installment payments (EMI) (USD)</t>
  </si>
  <si>
    <t>Amount_invested_monthly</t>
  </si>
  <si>
    <t>Amount invested monthly (USD)</t>
  </si>
  <si>
    <t>Payment_Behaviour</t>
  </si>
  <si>
    <t>Payment behavior pattern</t>
  </si>
  <si>
    <t>6 categories</t>
  </si>
  <si>
    <t>Monthly_Balance</t>
  </si>
  <si>
    <t>Available monthly balance (USD)</t>
  </si>
  <si>
    <t>Credit_Score</t>
  </si>
  <si>
    <t>Categorical (Target)</t>
  </si>
  <si>
    <t>Customer’s credit score classification</t>
  </si>
  <si>
    <t>Poor / Standard / Good</t>
  </si>
  <si>
    <t>Class</t>
  </si>
  <si>
    <t>Frequency</t>
  </si>
  <si>
    <t>Proportion</t>
  </si>
  <si>
    <t>Observation</t>
  </si>
  <si>
    <t>Standard</t>
  </si>
  <si>
    <t>Majority class</t>
  </si>
  <si>
    <t>Poor</t>
  </si>
  <si>
    <t>Intermediate minority class</t>
  </si>
  <si>
    <t>Good</t>
  </si>
  <si>
    <t>Minority class</t>
  </si>
  <si>
    <t>Total</t>
  </si>
  <si>
    <r>
      <rPr>
        <b/>
        <sz val="12"/>
        <color theme="1"/>
        <rFont val="Times New Roman"/>
        <family val="1"/>
      </rPr>
      <t>Standard</t>
    </r>
    <r>
      <rPr>
        <b/>
        <sz val="10"/>
        <color theme="1"/>
        <rFont val="Times New Roman"/>
        <family val="1"/>
      </rPr>
      <t xml:space="preserve"> Majority  Class</t>
    </r>
  </si>
  <si>
    <t>Distribution of the Target Variable</t>
  </si>
  <si>
    <t>100,000</t>
  </si>
  <si>
    <t>observations</t>
  </si>
  <si>
    <t>Credit Score Classification — Training Set</t>
  </si>
  <si>
    <t>Proportion (%)</t>
  </si>
  <si>
    <t>■ Standard     ■ Poor     ■ Good</t>
  </si>
  <si>
    <t>Records</t>
  </si>
  <si>
    <t>Minimum</t>
  </si>
  <si>
    <t>Maximum</t>
  </si>
  <si>
    <t>Action</t>
  </si>
  <si>
    <r>
      <t xml:space="preserve">Out-of-range values → </t>
    </r>
    <r>
      <rPr>
        <sz val="10"/>
        <color theme="1"/>
        <rFont val="Arial Unicode MS"/>
      </rPr>
      <t>NaN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Age_invalid</t>
    </r>
    <r>
      <rPr>
        <sz val="11"/>
        <color theme="1"/>
        <rFont val="Aptos Narrow"/>
        <family val="2"/>
        <scheme val="minor"/>
      </rPr>
      <t xml:space="preserve"> indicator</t>
    </r>
  </si>
  <si>
    <r>
      <t xml:space="preserve">Out-of-range values → </t>
    </r>
    <r>
      <rPr>
        <sz val="10"/>
        <color theme="1"/>
        <rFont val="Arial Unicode MS"/>
      </rPr>
      <t>NaN</t>
    </r>
    <r>
      <rPr>
        <sz val="11"/>
        <color theme="1"/>
        <rFont val="Aptos Narrow"/>
        <family val="2"/>
        <scheme val="minor"/>
      </rPr>
      <t xml:space="preserve"> + indicator</t>
    </r>
  </si>
  <si>
    <t>Lower bound only applied</t>
  </si>
  <si>
    <t>Missing Values</t>
  </si>
  <si>
    <t>% of Total</t>
  </si>
  <si>
    <t>Strategy Applied</t>
  </si>
  <si>
    <t>Median imputation</t>
  </si>
  <si>
    <r>
      <t>"Missing"</t>
    </r>
    <r>
      <rPr>
        <sz val="11"/>
        <color theme="1"/>
        <rFont val="Aptos Narrow"/>
        <family val="2"/>
        <scheme val="minor"/>
      </rPr>
      <t xml:space="preserve"> category</t>
    </r>
  </si>
  <si>
    <r>
      <t>"Missing"</t>
    </r>
    <r>
      <rPr>
        <sz val="11"/>
        <color theme="1"/>
        <rFont val="Aptos Narrow"/>
        <family val="2"/>
        <scheme val="minor"/>
      </rPr>
      <t xml:space="preserve"> category (placeholder </t>
    </r>
    <r>
      <rPr>
        <sz val="10"/>
        <color theme="1"/>
        <rFont val="Arial Unicode MS"/>
      </rPr>
      <t>"_"</t>
    </r>
    <r>
      <rPr>
        <sz val="11"/>
        <color theme="1"/>
        <rFont val="Aptos Narrow"/>
        <family val="2"/>
        <scheme val="minor"/>
      </rPr>
      <t>)</t>
    </r>
  </si>
  <si>
    <t>XGBoost Hyperparameters</t>
  </si>
  <si>
    <t>Parameter</t>
  </si>
  <si>
    <t>Value</t>
  </si>
  <si>
    <t>objective</t>
  </si>
  <si>
    <t>multi:softprob</t>
  </si>
  <si>
    <t>Defines a multi-class classification objective and outputs class probabilities.</t>
  </si>
  <si>
    <t>num_class</t>
  </si>
  <si>
    <t>Specifies the number of classes in the credit score prediction problem.</t>
  </si>
  <si>
    <t>n_estimators</t>
  </si>
  <si>
    <t>Number of trees used in the boosting process. A larger number helps stabilize feature importance estimates.</t>
  </si>
  <si>
    <t>max_depth</t>
  </si>
  <si>
    <t>Maximum depth of each tree, controlling model complexity and reducing overfitting.</t>
  </si>
  <si>
    <t>learning_rate</t>
  </si>
  <si>
    <t>Controls how much each tree contributes to the model. A smaller value leads to more gradual learning.</t>
  </si>
  <si>
    <t>subsample</t>
  </si>
  <si>
    <t>Fraction of training observations randomly sampled for each tree to reduce variance.</t>
  </si>
  <si>
    <t>colsample_bytree</t>
  </si>
  <si>
    <t>Fraction of features randomly sampled for each tree to avoid reliance on a small subset of predictors.</t>
  </si>
  <si>
    <t>eval_metric</t>
  </si>
  <si>
    <t>mlogloss</t>
  </si>
  <si>
    <t>Evaluation metric used during training for multi-class classification.</t>
  </si>
  <si>
    <t>random_state</t>
  </si>
  <si>
    <t>Ensures reproducibility of the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</si>
</sst>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rgb="FFFFFFFF"/>
      <name val="Times New Roman"/>
      <family val="1"/>
    </font>
    <font>
      <b/>
      <sz val="11"/>
      <color rgb="FF1A1714"/>
      <name val="Times New Roman"/>
      <family val="1"/>
    </font>
    <font>
      <i/>
      <sz val="8"/>
      <color rgb="FF7A736A"/>
      <name val="Times New Roman"/>
      <family val="1"/>
    </font>
    <font>
      <sz val="8"/>
      <color rgb="FF7A736A"/>
      <name val="Times New Roman"/>
      <family val="1"/>
    </font>
    <font>
      <b/>
      <sz val="16"/>
      <color theme="1"/>
      <name val="Times New Roman"/>
      <family val="1"/>
    </font>
    <font>
      <sz val="9"/>
      <color theme="1" tint="0.34998626667073579"/>
      <name val="Times New Roman"/>
      <family val="1"/>
    </font>
    <font>
      <sz val="8"/>
      <color theme="1" tint="0.34998626667073579"/>
      <name val="Times New Roman"/>
      <family val="1"/>
    </font>
    <font>
      <b/>
      <sz val="10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sz val="10"/>
      <color theme="1"/>
      <name val="Arial Unicode MS"/>
    </font>
    <font>
      <sz val="12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4EF"/>
        <bgColor rgb="FFF7EDE9"/>
      </patternFill>
    </fill>
    <fill>
      <patternFill patternType="solid">
        <fgColor rgb="FFFDFCFA"/>
        <bgColor rgb="FFFFFFFF"/>
      </patternFill>
    </fill>
    <fill>
      <patternFill patternType="solid">
        <fgColor rgb="FF1A1714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9F4EE"/>
      </patternFill>
    </fill>
    <fill>
      <patternFill patternType="solid">
        <fgColor theme="0"/>
        <bgColor rgb="FFF7F4EF"/>
      </patternFill>
    </fill>
    <fill>
      <patternFill patternType="solid">
        <fgColor theme="0"/>
        <bgColor rgb="FFEAF0F7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1A1714"/>
      </right>
      <top style="medium">
        <color indexed="64"/>
      </top>
      <bottom/>
      <diagonal/>
    </border>
    <border>
      <left style="thin">
        <color rgb="FF1A1714"/>
      </left>
      <right style="thin">
        <color rgb="FF1A1714"/>
      </right>
      <top style="medium">
        <color indexed="64"/>
      </top>
      <bottom/>
      <diagonal/>
    </border>
    <border>
      <left style="thin">
        <color rgb="FF1A171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96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8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3" borderId="0" xfId="0" applyFill="1"/>
    <xf numFmtId="10" fontId="4" fillId="3" borderId="14" xfId="1" applyNumberFormat="1" applyFont="1" applyFill="1" applyBorder="1" applyAlignment="1">
      <alignment horizontal="center" vertical="center" wrapText="1"/>
    </xf>
    <xf numFmtId="10" fontId="4" fillId="3" borderId="8" xfId="1" applyNumberFormat="1" applyFont="1" applyFill="1" applyBorder="1" applyAlignment="1">
      <alignment horizontal="center" vertical="center" wrapText="1"/>
    </xf>
    <xf numFmtId="0" fontId="6" fillId="4" borderId="0" xfId="2" applyFill="1"/>
    <xf numFmtId="0" fontId="13" fillId="3" borderId="10" xfId="0" applyFont="1" applyFill="1" applyBorder="1"/>
    <xf numFmtId="0" fontId="0" fillId="3" borderId="11" xfId="0" applyFill="1" applyBorder="1"/>
    <xf numFmtId="0" fontId="7" fillId="3" borderId="11" xfId="0" applyFont="1" applyFill="1" applyBorder="1"/>
    <xf numFmtId="0" fontId="8" fillId="7" borderId="12" xfId="2" applyFont="1" applyFill="1" applyBorder="1" applyAlignment="1">
      <alignment horizontal="center"/>
    </xf>
    <xf numFmtId="0" fontId="14" fillId="3" borderId="7" xfId="0" applyFont="1" applyFill="1" applyBorder="1"/>
    <xf numFmtId="0" fontId="7" fillId="7" borderId="0" xfId="2" applyFont="1" applyFill="1"/>
    <xf numFmtId="0" fontId="15" fillId="7" borderId="9" xfId="2" applyFont="1" applyFill="1" applyBorder="1" applyAlignment="1">
      <alignment horizontal="center"/>
    </xf>
    <xf numFmtId="0" fontId="0" fillId="3" borderId="7" xfId="0" applyFill="1" applyBorder="1"/>
    <xf numFmtId="0" fontId="7" fillId="3" borderId="9" xfId="0" applyFont="1" applyFill="1" applyBorder="1"/>
    <xf numFmtId="0" fontId="9" fillId="6" borderId="15" xfId="2" applyFont="1" applyFill="1" applyBorder="1" applyAlignment="1">
      <alignment horizontal="center" vertical="center"/>
    </xf>
    <xf numFmtId="0" fontId="9" fillId="6" borderId="16" xfId="2" applyFont="1" applyFill="1" applyBorder="1" applyAlignment="1">
      <alignment horizontal="center" vertical="center"/>
    </xf>
    <xf numFmtId="0" fontId="9" fillId="6" borderId="17" xfId="2" applyFont="1" applyFill="1" applyBorder="1" applyAlignment="1">
      <alignment horizontal="center" vertical="center"/>
    </xf>
    <xf numFmtId="0" fontId="10" fillId="8" borderId="10" xfId="2" applyFont="1" applyFill="1" applyBorder="1" applyAlignment="1">
      <alignment horizontal="left" vertical="center" indent="1"/>
    </xf>
    <xf numFmtId="3" fontId="10" fillId="8" borderId="11" xfId="2" applyNumberFormat="1" applyFont="1" applyFill="1" applyBorder="1" applyAlignment="1">
      <alignment horizontal="center" vertical="center"/>
    </xf>
    <xf numFmtId="0" fontId="11" fillId="8" borderId="7" xfId="2" applyFont="1" applyFill="1" applyBorder="1" applyAlignment="1">
      <alignment horizontal="left" vertical="center" indent="1"/>
    </xf>
    <xf numFmtId="0" fontId="14" fillId="8" borderId="0" xfId="2" applyFont="1" applyFill="1" applyAlignment="1">
      <alignment horizontal="center"/>
    </xf>
    <xf numFmtId="0" fontId="10" fillId="9" borderId="7" xfId="2" applyFont="1" applyFill="1" applyBorder="1" applyAlignment="1">
      <alignment horizontal="left" vertical="center" indent="1"/>
    </xf>
    <xf numFmtId="3" fontId="10" fillId="9" borderId="0" xfId="2" applyNumberFormat="1" applyFont="1" applyFill="1" applyAlignment="1">
      <alignment horizontal="center" vertical="center"/>
    </xf>
    <xf numFmtId="0" fontId="11" fillId="9" borderId="7" xfId="2" applyFont="1" applyFill="1" applyBorder="1" applyAlignment="1">
      <alignment horizontal="left" vertical="center" indent="1"/>
    </xf>
    <xf numFmtId="0" fontId="14" fillId="9" borderId="0" xfId="2" applyFont="1" applyFill="1" applyAlignment="1">
      <alignment horizontal="center"/>
    </xf>
    <xf numFmtId="0" fontId="10" fillId="10" borderId="7" xfId="2" applyFont="1" applyFill="1" applyBorder="1" applyAlignment="1">
      <alignment horizontal="left" vertical="center" indent="1"/>
    </xf>
    <xf numFmtId="3" fontId="10" fillId="10" borderId="0" xfId="2" applyNumberFormat="1" applyFont="1" applyFill="1" applyAlignment="1">
      <alignment horizontal="center" vertical="center"/>
    </xf>
    <xf numFmtId="0" fontId="11" fillId="10" borderId="5" xfId="2" applyFont="1" applyFill="1" applyBorder="1" applyAlignment="1">
      <alignment horizontal="left" vertical="center" indent="1"/>
    </xf>
    <xf numFmtId="0" fontId="14" fillId="10" borderId="13" xfId="2" applyFont="1" applyFill="1" applyBorder="1" applyAlignment="1">
      <alignment horizontal="center"/>
    </xf>
    <xf numFmtId="0" fontId="12" fillId="5" borderId="5" xfId="2" applyFont="1" applyFill="1" applyBorder="1" applyAlignment="1">
      <alignment vertical="center"/>
    </xf>
    <xf numFmtId="0" fontId="0" fillId="3" borderId="10" xfId="0" applyFill="1" applyBorder="1"/>
    <xf numFmtId="0" fontId="19" fillId="0" borderId="0" xfId="0" applyFont="1"/>
    <xf numFmtId="0" fontId="19" fillId="0" borderId="8" xfId="0" applyFont="1" applyBorder="1"/>
    <xf numFmtId="0" fontId="19" fillId="3" borderId="0" xfId="0" applyFont="1" applyFill="1"/>
    <xf numFmtId="0" fontId="20" fillId="2" borderId="4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0" fontId="4" fillId="3" borderId="6" xfId="1" applyNumberFormat="1" applyFont="1" applyFill="1" applyBorder="1" applyAlignment="1">
      <alignment horizontal="center" vertical="center" wrapText="1"/>
    </xf>
    <xf numFmtId="164" fontId="16" fillId="8" borderId="11" xfId="2" applyNumberFormat="1" applyFont="1" applyFill="1" applyBorder="1" applyAlignment="1">
      <alignment horizontal="center" vertical="center"/>
    </xf>
    <xf numFmtId="164" fontId="16" fillId="8" borderId="0" xfId="2" applyNumberFormat="1" applyFont="1" applyFill="1" applyAlignment="1">
      <alignment horizontal="center" vertical="center"/>
    </xf>
    <xf numFmtId="164" fontId="16" fillId="10" borderId="0" xfId="2" applyNumberFormat="1" applyFont="1" applyFill="1" applyAlignment="1">
      <alignment horizontal="center" vertical="center"/>
    </xf>
    <xf numFmtId="164" fontId="16" fillId="10" borderId="13" xfId="2" applyNumberFormat="1" applyFont="1" applyFill="1" applyBorder="1" applyAlignment="1">
      <alignment horizontal="center" vertical="center"/>
    </xf>
    <xf numFmtId="0" fontId="11" fillId="5" borderId="11" xfId="2" applyFont="1" applyFill="1" applyBorder="1" applyAlignment="1">
      <alignment horizontal="center" vertical="center" wrapText="1"/>
    </xf>
    <xf numFmtId="0" fontId="11" fillId="5" borderId="12" xfId="2" applyFont="1" applyFill="1" applyBorder="1" applyAlignment="1">
      <alignment horizontal="center" vertical="center" wrapText="1"/>
    </xf>
    <xf numFmtId="0" fontId="11" fillId="5" borderId="13" xfId="2" applyFont="1" applyFill="1" applyBorder="1" applyAlignment="1">
      <alignment horizontal="center" vertical="center" wrapText="1"/>
    </xf>
    <xf numFmtId="0" fontId="11" fillId="5" borderId="2" xfId="2" applyFont="1" applyFill="1" applyBorder="1" applyAlignment="1">
      <alignment horizontal="center" vertical="center" wrapText="1"/>
    </xf>
    <xf numFmtId="164" fontId="16" fillId="9" borderId="0" xfId="2" applyNumberFormat="1" applyFont="1" applyFill="1" applyAlignment="1">
      <alignment horizontal="center" vertical="center"/>
    </xf>
    <xf numFmtId="165" fontId="17" fillId="10" borderId="9" xfId="2" applyNumberFormat="1" applyFont="1" applyFill="1" applyBorder="1" applyAlignment="1">
      <alignment horizontal="center" vertical="center"/>
    </xf>
    <xf numFmtId="165" fontId="17" fillId="10" borderId="2" xfId="2" applyNumberFormat="1" applyFont="1" applyFill="1" applyBorder="1" applyAlignment="1">
      <alignment horizontal="center" vertical="center"/>
    </xf>
    <xf numFmtId="165" fontId="17" fillId="9" borderId="9" xfId="2" applyNumberFormat="1" applyFont="1" applyFill="1" applyBorder="1" applyAlignment="1">
      <alignment horizontal="center" vertical="center"/>
    </xf>
    <xf numFmtId="165" fontId="17" fillId="8" borderId="12" xfId="2" applyNumberFormat="1" applyFont="1" applyFill="1" applyBorder="1" applyAlignment="1">
      <alignment horizontal="center" vertical="center"/>
    </xf>
    <xf numFmtId="165" fontId="17" fillId="8" borderId="9" xfId="2" applyNumberFormat="1" applyFont="1" applyFill="1" applyBorder="1" applyAlignment="1">
      <alignment horizontal="center" vertical="center"/>
    </xf>
    <xf numFmtId="0" fontId="12" fillId="5" borderId="11" xfId="2" applyFont="1" applyFill="1" applyBorder="1" applyAlignment="1">
      <alignment horizontal="center" vertical="center"/>
    </xf>
    <xf numFmtId="0" fontId="12" fillId="5" borderId="13" xfId="2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/>
    </xf>
    <xf numFmtId="0" fontId="21" fillId="11" borderId="11" xfId="0" applyFont="1" applyFill="1" applyBorder="1" applyAlignment="1">
      <alignment horizontal="center"/>
    </xf>
    <xf numFmtId="0" fontId="21" fillId="11" borderId="12" xfId="0" applyFont="1" applyFill="1" applyBorder="1" applyAlignment="1">
      <alignment horizontal="center"/>
    </xf>
    <xf numFmtId="0" fontId="21" fillId="12" borderId="4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3">
    <cellStyle name="Normal" xfId="0" builtinId="0"/>
    <cellStyle name="Normal 2" xfId="2" xr:uid="{D2A64814-9C36-4C51-924E-76C56AF31CF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30907045754596"/>
          <c:y val="6.9241405799884775E-2"/>
          <c:w val="0.52089425058718009"/>
          <c:h val="0.8104540682414698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Hoja1!$P$8</c:f>
              <c:strCache>
                <c:ptCount val="1"/>
                <c:pt idx="0">
                  <c:v>Proportion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Hoja1!$N$9:$N$11</c:f>
              <c:strCache>
                <c:ptCount val="3"/>
                <c:pt idx="0">
                  <c:v>Standard Majority  Class</c:v>
                </c:pt>
                <c:pt idx="1">
                  <c:v>Poor</c:v>
                </c:pt>
                <c:pt idx="2">
                  <c:v>Good</c:v>
                </c:pt>
              </c:strCache>
            </c:strRef>
          </c:cat>
          <c:val>
            <c:numRef>
              <c:f>Hoja1!$P$9:$P$11</c:f>
              <c:numCache>
                <c:formatCode>0.00%</c:formatCode>
                <c:ptCount val="3"/>
                <c:pt idx="0">
                  <c:v>0.53169999999999995</c:v>
                </c:pt>
                <c:pt idx="1">
                  <c:v>0.28999999999999998</c:v>
                </c:pt>
                <c:pt idx="2">
                  <c:v>0.17829999999999999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2-42EC-B492-EBB7CBE84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81"/>
        <c:axId val="985057984"/>
        <c:axId val="985059904"/>
      </c:barChart>
      <c:catAx>
        <c:axId val="985057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5059904"/>
        <c:crosses val="autoZero"/>
        <c:auto val="1"/>
        <c:lblAlgn val="ctr"/>
        <c:lblOffset val="100"/>
        <c:noMultiLvlLbl val="0"/>
      </c:catAx>
      <c:valAx>
        <c:axId val="985059904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98505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685800</xdr:colOff>
      <xdr:row>13</xdr:row>
      <xdr:rowOff>266700</xdr:rowOff>
    </xdr:from>
    <xdr:to>
      <xdr:col>20</xdr:col>
      <xdr:colOff>371476</xdr:colOff>
      <xdr:row>19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80D0CF-3A8A-1AD2-11AC-45CF03A1B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638490</xdr:colOff>
      <xdr:row>64</xdr:row>
      <xdr:rowOff>125605</xdr:rowOff>
    </xdr:from>
    <xdr:to>
      <xdr:col>24</xdr:col>
      <xdr:colOff>1526555</xdr:colOff>
      <xdr:row>75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C23752-A5A3-B43D-9A06-9D762DFAF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34232" y="21635358"/>
          <a:ext cx="5472625" cy="2752830"/>
        </a:xfrm>
        <a:prstGeom prst="rect">
          <a:avLst/>
        </a:prstGeom>
      </xdr:spPr>
    </xdr:pic>
    <xdr:clientData/>
  </xdr:twoCellAnchor>
  <xdr:twoCellAnchor editAs="oneCell">
    <xdr:from>
      <xdr:col>18</xdr:col>
      <xdr:colOff>62802</xdr:colOff>
      <xdr:row>78</xdr:row>
      <xdr:rowOff>672312</xdr:rowOff>
    </xdr:from>
    <xdr:to>
      <xdr:col>24</xdr:col>
      <xdr:colOff>1025770</xdr:colOff>
      <xdr:row>82</xdr:row>
      <xdr:rowOff>177664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69D422-A46F-6017-7310-935863F1F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58544" y="27572587"/>
          <a:ext cx="5547528" cy="2865269"/>
        </a:xfrm>
        <a:prstGeom prst="rect">
          <a:avLst/>
        </a:prstGeom>
      </xdr:spPr>
    </xdr:pic>
    <xdr:clientData/>
  </xdr:twoCellAnchor>
  <xdr:twoCellAnchor editAs="oneCell">
    <xdr:from>
      <xdr:col>18</xdr:col>
      <xdr:colOff>219809</xdr:colOff>
      <xdr:row>82</xdr:row>
      <xdr:rowOff>305379</xdr:rowOff>
    </xdr:from>
    <xdr:to>
      <xdr:col>24</xdr:col>
      <xdr:colOff>753627</xdr:colOff>
      <xdr:row>96</xdr:row>
      <xdr:rowOff>62407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0D9C3F-B6E2-7F10-9AA5-98EFF22E6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15551" y="30565571"/>
          <a:ext cx="5118378" cy="2593594"/>
        </a:xfrm>
        <a:prstGeom prst="rect">
          <a:avLst/>
        </a:prstGeom>
      </xdr:spPr>
    </xdr:pic>
    <xdr:clientData/>
  </xdr:twoCellAnchor>
  <xdr:twoCellAnchor editAs="oneCell">
    <xdr:from>
      <xdr:col>18</xdr:col>
      <xdr:colOff>272144</xdr:colOff>
      <xdr:row>75</xdr:row>
      <xdr:rowOff>471017</xdr:rowOff>
    </xdr:from>
    <xdr:to>
      <xdr:col>24</xdr:col>
      <xdr:colOff>958210</xdr:colOff>
      <xdr:row>78</xdr:row>
      <xdr:rowOff>690824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8337F13-CA96-C20E-7472-F875EE2CA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67886" y="24859204"/>
          <a:ext cx="5270626" cy="2731895"/>
        </a:xfrm>
        <a:prstGeom prst="rect">
          <a:avLst/>
        </a:prstGeom>
      </xdr:spPr>
    </xdr:pic>
    <xdr:clientData/>
  </xdr:twoCellAnchor>
  <xdr:twoCellAnchor editAs="oneCell">
    <xdr:from>
      <xdr:col>30</xdr:col>
      <xdr:colOff>397748</xdr:colOff>
      <xdr:row>60</xdr:row>
      <xdr:rowOff>75150</xdr:rowOff>
    </xdr:from>
    <xdr:to>
      <xdr:col>38</xdr:col>
      <xdr:colOff>251209</xdr:colOff>
      <xdr:row>74</xdr:row>
      <xdr:rowOff>546830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8EEA785-1398-4103-4AC5-ABF8A7183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15440" y="20831276"/>
          <a:ext cx="5966209" cy="3140774"/>
        </a:xfrm>
        <a:prstGeom prst="rect">
          <a:avLst/>
        </a:prstGeom>
      </xdr:spPr>
    </xdr:pic>
    <xdr:clientData/>
  </xdr:twoCellAnchor>
  <xdr:twoCellAnchor editAs="oneCell">
    <xdr:from>
      <xdr:col>30</xdr:col>
      <xdr:colOff>293078</xdr:colOff>
      <xdr:row>74</xdr:row>
      <xdr:rowOff>805961</xdr:rowOff>
    </xdr:from>
    <xdr:to>
      <xdr:col>36</xdr:col>
      <xdr:colOff>611373</xdr:colOff>
      <xdr:row>78</xdr:row>
      <xdr:rowOff>73269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F0E2BC9-A3A8-8960-2E88-7589B76C0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410770" y="24231181"/>
          <a:ext cx="4902856" cy="2742363"/>
        </a:xfrm>
        <a:prstGeom prst="rect">
          <a:avLst/>
        </a:prstGeom>
      </xdr:spPr>
    </xdr:pic>
    <xdr:clientData/>
  </xdr:twoCellAnchor>
  <xdr:twoCellAnchor editAs="oneCell">
    <xdr:from>
      <xdr:col>30</xdr:col>
      <xdr:colOff>115138</xdr:colOff>
      <xdr:row>78</xdr:row>
      <xdr:rowOff>153446</xdr:rowOff>
    </xdr:from>
    <xdr:to>
      <xdr:col>36</xdr:col>
      <xdr:colOff>586155</xdr:colOff>
      <xdr:row>81</xdr:row>
      <xdr:rowOff>230275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A197A4A-A404-40B8-0758-FA510FAC74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044" r="8188"/>
        <a:stretch>
          <a:fillRect/>
        </a:stretch>
      </xdr:blipFill>
      <xdr:spPr>
        <a:xfrm>
          <a:off x="33232830" y="27053721"/>
          <a:ext cx="5055578" cy="2850592"/>
        </a:xfrm>
        <a:prstGeom prst="rect">
          <a:avLst/>
        </a:prstGeom>
      </xdr:spPr>
    </xdr:pic>
    <xdr:clientData/>
  </xdr:twoCellAnchor>
  <xdr:twoCellAnchor editAs="oneCell">
    <xdr:from>
      <xdr:col>30</xdr:col>
      <xdr:colOff>450083</xdr:colOff>
      <xdr:row>81</xdr:row>
      <xdr:rowOff>471591</xdr:rowOff>
    </xdr:from>
    <xdr:to>
      <xdr:col>36</xdr:col>
      <xdr:colOff>209340</xdr:colOff>
      <xdr:row>92</xdr:row>
      <xdr:rowOff>147084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55DF195-1E6F-4EA8-EACC-257900322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961" r="7625"/>
        <a:stretch>
          <a:fillRect/>
        </a:stretch>
      </xdr:blipFill>
      <xdr:spPr>
        <a:xfrm>
          <a:off x="33567775" y="30145629"/>
          <a:ext cx="4343818" cy="2344587"/>
        </a:xfrm>
        <a:prstGeom prst="rect">
          <a:avLst/>
        </a:prstGeom>
      </xdr:spPr>
    </xdr:pic>
    <xdr:clientData/>
  </xdr:twoCellAnchor>
  <xdr:twoCellAnchor editAs="oneCell">
    <xdr:from>
      <xdr:col>16</xdr:col>
      <xdr:colOff>2805166</xdr:colOff>
      <xdr:row>48</xdr:row>
      <xdr:rowOff>115138</xdr:rowOff>
    </xdr:from>
    <xdr:to>
      <xdr:col>26</xdr:col>
      <xdr:colOff>334946</xdr:colOff>
      <xdr:row>62</xdr:row>
      <xdr:rowOff>21990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DB68B8-8642-3A4B-D830-3A1F79FBE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306045" y="18610385"/>
          <a:ext cx="9190055" cy="2544545"/>
        </a:xfrm>
        <a:prstGeom prst="rect">
          <a:avLst/>
        </a:prstGeom>
      </xdr:spPr>
    </xdr:pic>
    <xdr:clientData/>
  </xdr:twoCellAnchor>
  <xdr:twoCellAnchor editAs="oneCell">
    <xdr:from>
      <xdr:col>26</xdr:col>
      <xdr:colOff>672510</xdr:colOff>
      <xdr:row>47</xdr:row>
      <xdr:rowOff>157003</xdr:rowOff>
    </xdr:from>
    <xdr:to>
      <xdr:col>36</xdr:col>
      <xdr:colOff>40379</xdr:colOff>
      <xdr:row>59</xdr:row>
      <xdr:rowOff>44293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E2AE43F-D46A-8572-172B-B0E6AA8DD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833664" y="18463844"/>
          <a:ext cx="7908968" cy="2148169"/>
        </a:xfrm>
        <a:prstGeom prst="rect">
          <a:avLst/>
        </a:prstGeom>
      </xdr:spPr>
    </xdr:pic>
    <xdr:clientData/>
  </xdr:twoCellAnchor>
  <xdr:twoCellAnchor editAs="oneCell">
    <xdr:from>
      <xdr:col>18</xdr:col>
      <xdr:colOff>659424</xdr:colOff>
      <xdr:row>98</xdr:row>
      <xdr:rowOff>22118</xdr:rowOff>
    </xdr:from>
    <xdr:to>
      <xdr:col>24</xdr:col>
      <xdr:colOff>533820</xdr:colOff>
      <xdr:row>110</xdr:row>
      <xdr:rowOff>150845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2B1BEA5-1C86-D99F-061B-B47B0294D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855166" y="33495689"/>
          <a:ext cx="4458956" cy="2389607"/>
        </a:xfrm>
        <a:prstGeom prst="rect">
          <a:avLst/>
        </a:prstGeom>
      </xdr:spPr>
    </xdr:pic>
    <xdr:clientData/>
  </xdr:twoCellAnchor>
  <xdr:twoCellAnchor editAs="oneCell">
    <xdr:from>
      <xdr:col>30</xdr:col>
      <xdr:colOff>251208</xdr:colOff>
      <xdr:row>93</xdr:row>
      <xdr:rowOff>179847</xdr:rowOff>
    </xdr:from>
    <xdr:to>
      <xdr:col>36</xdr:col>
      <xdr:colOff>535134</xdr:colOff>
      <xdr:row>108</xdr:row>
      <xdr:rowOff>4428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4D2EA0B-A551-5EF6-D3E1-2F7591376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368900" y="32711385"/>
          <a:ext cx="4868487" cy="2650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00E7-9D9B-4BD9-81B6-9440F6C7B742}">
  <dimension ref="C1:AK83"/>
  <sheetViews>
    <sheetView tabSelected="1" topLeftCell="S74" zoomScale="91" zoomScaleNormal="91" workbookViewId="0">
      <selection activeCell="AO77" sqref="AO77"/>
    </sheetView>
  </sheetViews>
  <sheetFormatPr baseColWidth="10" defaultRowHeight="15"/>
  <cols>
    <col min="3" max="3" width="24.7109375" customWidth="1"/>
    <col min="4" max="4" width="10.7109375" customWidth="1"/>
    <col min="5" max="5" width="21.28515625" customWidth="1"/>
    <col min="6" max="6" width="20.140625" customWidth="1"/>
    <col min="9" max="9" width="21.7109375" customWidth="1"/>
    <col min="10" max="10" width="12.42578125" style="18" customWidth="1"/>
    <col min="11" max="11" width="24.85546875" style="18" customWidth="1"/>
    <col min="12" max="12" width="19.140625" customWidth="1"/>
    <col min="13" max="13" width="11.42578125" style="28"/>
    <col min="14" max="14" width="22" style="28" customWidth="1"/>
    <col min="15" max="15" width="15.7109375" style="28" customWidth="1"/>
    <col min="16" max="16" width="12.7109375" style="28" customWidth="1"/>
    <col min="17" max="17" width="44" style="28" customWidth="1"/>
    <col min="18" max="24" width="11.42578125" style="28"/>
    <col min="25" max="25" width="47.85546875" style="28" customWidth="1"/>
    <col min="26" max="26" width="2.85546875" style="28" customWidth="1"/>
    <col min="27" max="27" width="19.42578125" style="28" customWidth="1"/>
    <col min="28" max="28" width="14.7109375" style="28" customWidth="1"/>
    <col min="29" max="29" width="22.85546875" style="28" customWidth="1"/>
    <col min="30" max="30" width="2.140625" style="28" customWidth="1"/>
    <col min="31" max="37" width="11.42578125" style="28"/>
  </cols>
  <sheetData>
    <row r="1" spans="3:17" ht="12.75" customHeight="1" thickBot="1">
      <c r="J1" s="17"/>
      <c r="K1" s="17"/>
    </row>
    <row r="2" spans="3:17" ht="15.75" hidden="1" thickBot="1"/>
    <row r="3" spans="3:17" ht="30" customHeight="1" thickBot="1">
      <c r="C3" s="1" t="s">
        <v>0</v>
      </c>
      <c r="D3" s="2" t="s">
        <v>1</v>
      </c>
      <c r="E3" s="2" t="s">
        <v>2</v>
      </c>
      <c r="F3" s="3" t="s">
        <v>3</v>
      </c>
      <c r="I3" s="1" t="s">
        <v>0</v>
      </c>
      <c r="J3" s="2" t="s">
        <v>1</v>
      </c>
      <c r="K3" s="2" t="s">
        <v>2</v>
      </c>
      <c r="L3" s="3" t="s">
        <v>3</v>
      </c>
    </row>
    <row r="4" spans="3:17" ht="15.75" thickBot="1">
      <c r="C4" s="4" t="s">
        <v>4</v>
      </c>
      <c r="D4" s="5" t="s">
        <v>5</v>
      </c>
      <c r="E4" s="5" t="s">
        <v>6</v>
      </c>
      <c r="F4" s="6" t="s">
        <v>7</v>
      </c>
      <c r="I4" s="13" t="s">
        <v>4</v>
      </c>
      <c r="J4" s="19" t="s">
        <v>5</v>
      </c>
      <c r="K4" s="19" t="s">
        <v>6</v>
      </c>
      <c r="L4" s="14" t="s">
        <v>7</v>
      </c>
    </row>
    <row r="5" spans="3:17" ht="26.25" thickBot="1">
      <c r="C5" s="7" t="s">
        <v>8</v>
      </c>
      <c r="D5" s="8" t="s">
        <v>9</v>
      </c>
      <c r="E5" s="8" t="s">
        <v>10</v>
      </c>
      <c r="F5" s="9" t="s">
        <v>11</v>
      </c>
      <c r="I5" s="13" t="s">
        <v>8</v>
      </c>
      <c r="J5" s="19" t="s">
        <v>9</v>
      </c>
      <c r="K5" s="19" t="s">
        <v>10</v>
      </c>
      <c r="L5" s="14" t="s">
        <v>11</v>
      </c>
    </row>
    <row r="6" spans="3:17" ht="26.25" thickBot="1">
      <c r="C6" s="4" t="s">
        <v>12</v>
      </c>
      <c r="D6" s="5" t="s">
        <v>5</v>
      </c>
      <c r="E6" s="5" t="s">
        <v>13</v>
      </c>
      <c r="F6" s="6" t="s">
        <v>14</v>
      </c>
      <c r="I6" s="13" t="s">
        <v>12</v>
      </c>
      <c r="J6" s="19" t="s">
        <v>5</v>
      </c>
      <c r="K6" s="19" t="s">
        <v>13</v>
      </c>
      <c r="L6" s="14" t="s">
        <v>14</v>
      </c>
    </row>
    <row r="7" spans="3:17" ht="26.25" thickBot="1">
      <c r="C7" s="7" t="s">
        <v>15</v>
      </c>
      <c r="D7" s="8" t="s">
        <v>5</v>
      </c>
      <c r="E7" s="8" t="s">
        <v>16</v>
      </c>
      <c r="F7" s="9" t="s">
        <v>14</v>
      </c>
      <c r="I7" s="13" t="s">
        <v>15</v>
      </c>
      <c r="J7" s="19" t="s">
        <v>5</v>
      </c>
      <c r="K7" s="19" t="s">
        <v>16</v>
      </c>
      <c r="L7" s="14" t="s">
        <v>14</v>
      </c>
    </row>
    <row r="8" spans="3:17" ht="26.25" thickBot="1">
      <c r="C8" s="4" t="s">
        <v>17</v>
      </c>
      <c r="D8" s="5" t="s">
        <v>5</v>
      </c>
      <c r="E8" s="5" t="s">
        <v>18</v>
      </c>
      <c r="F8" s="6" t="s">
        <v>19</v>
      </c>
      <c r="I8" s="13" t="s">
        <v>17</v>
      </c>
      <c r="J8" s="19" t="s">
        <v>5</v>
      </c>
      <c r="K8" s="19" t="s">
        <v>18</v>
      </c>
      <c r="L8" s="14" t="s">
        <v>19</v>
      </c>
      <c r="N8" s="1" t="s">
        <v>67</v>
      </c>
      <c r="O8" s="2" t="s">
        <v>68</v>
      </c>
      <c r="P8" s="2" t="s">
        <v>69</v>
      </c>
      <c r="Q8" s="3" t="s">
        <v>70</v>
      </c>
    </row>
    <row r="9" spans="3:17" ht="29.25" thickBot="1">
      <c r="C9" s="7" t="s">
        <v>20</v>
      </c>
      <c r="D9" s="8" t="s">
        <v>5</v>
      </c>
      <c r="E9" s="8" t="s">
        <v>21</v>
      </c>
      <c r="F9" s="9" t="s">
        <v>22</v>
      </c>
      <c r="I9" s="13" t="s">
        <v>20</v>
      </c>
      <c r="J9" s="19" t="s">
        <v>5</v>
      </c>
      <c r="K9" s="19" t="s">
        <v>21</v>
      </c>
      <c r="L9" s="14" t="s">
        <v>22</v>
      </c>
      <c r="N9" s="21" t="s">
        <v>78</v>
      </c>
      <c r="O9" s="22">
        <v>53174</v>
      </c>
      <c r="P9" s="29">
        <v>0.53169999999999995</v>
      </c>
      <c r="Q9" s="23" t="s">
        <v>72</v>
      </c>
    </row>
    <row r="10" spans="3:17" ht="26.25" thickBot="1">
      <c r="C10" s="4" t="s">
        <v>23</v>
      </c>
      <c r="D10" s="5" t="s">
        <v>5</v>
      </c>
      <c r="E10" s="5" t="s">
        <v>24</v>
      </c>
      <c r="F10" s="6" t="s">
        <v>25</v>
      </c>
      <c r="I10" s="13" t="s">
        <v>23</v>
      </c>
      <c r="J10" s="19" t="s">
        <v>5</v>
      </c>
      <c r="K10" s="19" t="s">
        <v>24</v>
      </c>
      <c r="L10" s="14" t="s">
        <v>25</v>
      </c>
      <c r="N10" s="13" t="s">
        <v>73</v>
      </c>
      <c r="O10" s="19">
        <v>28998</v>
      </c>
      <c r="P10" s="30">
        <v>0.28999999999999998</v>
      </c>
      <c r="Q10" s="14" t="s">
        <v>74</v>
      </c>
    </row>
    <row r="11" spans="3:17" ht="15.75" thickBot="1">
      <c r="C11" s="7" t="s">
        <v>26</v>
      </c>
      <c r="D11" s="8" t="s">
        <v>5</v>
      </c>
      <c r="E11" s="8" t="s">
        <v>27</v>
      </c>
      <c r="F11" s="9" t="s">
        <v>22</v>
      </c>
      <c r="I11" s="13" t="s">
        <v>26</v>
      </c>
      <c r="J11" s="19" t="s">
        <v>5</v>
      </c>
      <c r="K11" s="19" t="s">
        <v>27</v>
      </c>
      <c r="L11" s="14" t="s">
        <v>22</v>
      </c>
      <c r="N11" s="13" t="s">
        <v>75</v>
      </c>
      <c r="O11" s="19">
        <v>17828</v>
      </c>
      <c r="P11" s="30">
        <v>0.17829999999999999</v>
      </c>
      <c r="Q11" s="14" t="s">
        <v>76</v>
      </c>
    </row>
    <row r="12" spans="3:17" ht="15.75" thickBot="1">
      <c r="C12" s="4" t="s">
        <v>28</v>
      </c>
      <c r="D12" s="5" t="s">
        <v>9</v>
      </c>
      <c r="E12" s="5" t="s">
        <v>29</v>
      </c>
      <c r="F12" s="6" t="s">
        <v>30</v>
      </c>
      <c r="I12" s="13" t="s">
        <v>28</v>
      </c>
      <c r="J12" s="19" t="s">
        <v>9</v>
      </c>
      <c r="K12" s="19" t="s">
        <v>29</v>
      </c>
      <c r="L12" s="14" t="s">
        <v>30</v>
      </c>
      <c r="N12" s="24" t="s">
        <v>77</v>
      </c>
      <c r="O12" s="25">
        <v>100000</v>
      </c>
      <c r="P12" s="26">
        <v>1</v>
      </c>
      <c r="Q12" s="27" t="s">
        <v>33</v>
      </c>
    </row>
    <row r="13" spans="3:17" ht="26.25" thickBot="1">
      <c r="C13" s="7" t="s">
        <v>31</v>
      </c>
      <c r="D13" s="8" t="s">
        <v>5</v>
      </c>
      <c r="E13" s="8" t="s">
        <v>32</v>
      </c>
      <c r="F13" s="9" t="s">
        <v>33</v>
      </c>
      <c r="I13" s="13" t="s">
        <v>31</v>
      </c>
      <c r="J13" s="19" t="s">
        <v>5</v>
      </c>
      <c r="K13" s="19" t="s">
        <v>32</v>
      </c>
      <c r="L13" s="14" t="s">
        <v>33</v>
      </c>
    </row>
    <row r="14" spans="3:17" ht="26.25" thickBot="1">
      <c r="C14" s="4" t="s">
        <v>34</v>
      </c>
      <c r="D14" s="5" t="s">
        <v>5</v>
      </c>
      <c r="E14" s="5" t="s">
        <v>35</v>
      </c>
      <c r="F14" s="6" t="s">
        <v>36</v>
      </c>
      <c r="I14" s="13" t="s">
        <v>34</v>
      </c>
      <c r="J14" s="19" t="s">
        <v>5</v>
      </c>
      <c r="K14" s="19" t="s">
        <v>35</v>
      </c>
      <c r="L14" s="14" t="s">
        <v>36</v>
      </c>
    </row>
    <row r="15" spans="3:17" ht="26.25" thickBot="1">
      <c r="C15" s="7" t="s">
        <v>37</v>
      </c>
      <c r="D15" s="8" t="s">
        <v>5</v>
      </c>
      <c r="E15" s="8" t="s">
        <v>38</v>
      </c>
      <c r="F15" s="9" t="s">
        <v>33</v>
      </c>
      <c r="I15" s="13" t="s">
        <v>37</v>
      </c>
      <c r="J15" s="19" t="s">
        <v>5</v>
      </c>
      <c r="K15" s="19" t="s">
        <v>38</v>
      </c>
      <c r="L15" s="14" t="s">
        <v>33</v>
      </c>
    </row>
    <row r="16" spans="3:17" ht="26.25" thickBot="1">
      <c r="C16" s="4" t="s">
        <v>39</v>
      </c>
      <c r="D16" s="5" t="s">
        <v>5</v>
      </c>
      <c r="E16" s="5" t="s">
        <v>40</v>
      </c>
      <c r="F16" s="6" t="s">
        <v>36</v>
      </c>
      <c r="I16" s="13" t="s">
        <v>39</v>
      </c>
      <c r="J16" s="19" t="s">
        <v>5</v>
      </c>
      <c r="K16" s="19" t="s">
        <v>40</v>
      </c>
      <c r="L16" s="14" t="s">
        <v>36</v>
      </c>
    </row>
    <row r="17" spans="3:37" ht="15.75" thickBot="1">
      <c r="C17" s="7" t="s">
        <v>41</v>
      </c>
      <c r="D17" s="8" t="s">
        <v>9</v>
      </c>
      <c r="E17" s="8" t="s">
        <v>42</v>
      </c>
      <c r="F17" s="9" t="s">
        <v>43</v>
      </c>
      <c r="I17" s="13" t="s">
        <v>41</v>
      </c>
      <c r="J17" s="19" t="s">
        <v>9</v>
      </c>
      <c r="K17" s="19" t="s">
        <v>42</v>
      </c>
      <c r="L17" s="14" t="s">
        <v>43</v>
      </c>
    </row>
    <row r="18" spans="3:37" ht="26.25" thickBot="1">
      <c r="C18" s="4" t="s">
        <v>44</v>
      </c>
      <c r="D18" s="5" t="s">
        <v>5</v>
      </c>
      <c r="E18" s="5" t="s">
        <v>45</v>
      </c>
      <c r="F18" s="6" t="s">
        <v>36</v>
      </c>
      <c r="I18" s="13" t="s">
        <v>44</v>
      </c>
      <c r="J18" s="19" t="s">
        <v>5</v>
      </c>
      <c r="K18" s="19" t="s">
        <v>45</v>
      </c>
      <c r="L18" s="14" t="s">
        <v>36</v>
      </c>
    </row>
    <row r="19" spans="3:37" ht="15.75" thickBot="1">
      <c r="C19" s="7" t="s">
        <v>46</v>
      </c>
      <c r="D19" s="8" t="s">
        <v>5</v>
      </c>
      <c r="E19" s="8" t="s">
        <v>47</v>
      </c>
      <c r="F19" s="9" t="s">
        <v>25</v>
      </c>
      <c r="I19" s="13" t="s">
        <v>46</v>
      </c>
      <c r="J19" s="19" t="s">
        <v>5</v>
      </c>
      <c r="K19" s="19" t="s">
        <v>47</v>
      </c>
      <c r="L19" s="14" t="s">
        <v>25</v>
      </c>
    </row>
    <row r="20" spans="3:37" ht="26.25" thickBot="1">
      <c r="C20" s="4" t="s">
        <v>48</v>
      </c>
      <c r="D20" s="5" t="s">
        <v>5</v>
      </c>
      <c r="E20" s="5" t="s">
        <v>49</v>
      </c>
      <c r="F20" s="6" t="s">
        <v>14</v>
      </c>
      <c r="I20" s="13" t="s">
        <v>48</v>
      </c>
      <c r="J20" s="19" t="s">
        <v>5</v>
      </c>
      <c r="K20" s="19" t="s">
        <v>49</v>
      </c>
      <c r="L20" s="14" t="s">
        <v>14</v>
      </c>
    </row>
    <row r="21" spans="3:37" ht="39" thickBot="1">
      <c r="C21" s="7" t="s">
        <v>50</v>
      </c>
      <c r="D21" s="8" t="s">
        <v>51</v>
      </c>
      <c r="E21" s="8" t="s">
        <v>52</v>
      </c>
      <c r="F21" s="9" t="s">
        <v>53</v>
      </c>
      <c r="I21" s="13" t="s">
        <v>50</v>
      </c>
      <c r="J21" s="19" t="s">
        <v>51</v>
      </c>
      <c r="K21" s="19" t="s">
        <v>52</v>
      </c>
      <c r="L21" s="14" t="s">
        <v>53</v>
      </c>
    </row>
    <row r="22" spans="3:37" ht="26.25" thickBot="1">
      <c r="C22" s="4" t="s">
        <v>54</v>
      </c>
      <c r="D22" s="5" t="s">
        <v>5</v>
      </c>
      <c r="E22" s="5" t="s">
        <v>55</v>
      </c>
      <c r="F22" s="6" t="s">
        <v>36</v>
      </c>
      <c r="I22" s="13" t="s">
        <v>54</v>
      </c>
      <c r="J22" s="19" t="s">
        <v>5</v>
      </c>
      <c r="K22" s="19" t="s">
        <v>55</v>
      </c>
      <c r="L22" s="14" t="s">
        <v>36</v>
      </c>
    </row>
    <row r="23" spans="3:37" ht="26.25" thickBot="1">
      <c r="C23" s="7" t="s">
        <v>56</v>
      </c>
      <c r="D23" s="8" t="s">
        <v>5</v>
      </c>
      <c r="E23" s="8" t="s">
        <v>57</v>
      </c>
      <c r="F23" s="9" t="s">
        <v>36</v>
      </c>
      <c r="I23" s="13" t="s">
        <v>56</v>
      </c>
      <c r="J23" s="19" t="s">
        <v>5</v>
      </c>
      <c r="K23" s="19" t="s">
        <v>57</v>
      </c>
      <c r="L23" s="14" t="s">
        <v>36</v>
      </c>
      <c r="Z23" s="28" t="s">
        <v>98</v>
      </c>
    </row>
    <row r="24" spans="3:37" ht="30.75" thickBot="1">
      <c r="C24" s="4" t="s">
        <v>58</v>
      </c>
      <c r="D24" s="5" t="s">
        <v>9</v>
      </c>
      <c r="E24" s="5" t="s">
        <v>59</v>
      </c>
      <c r="F24" s="6" t="s">
        <v>60</v>
      </c>
      <c r="I24" s="13" t="s">
        <v>58</v>
      </c>
      <c r="J24" s="19" t="s">
        <v>9</v>
      </c>
      <c r="K24" s="19" t="s">
        <v>59</v>
      </c>
      <c r="L24" s="14" t="s">
        <v>60</v>
      </c>
      <c r="Z24" s="81" t="s">
        <v>99</v>
      </c>
      <c r="AA24" s="81" t="s">
        <v>100</v>
      </c>
      <c r="AB24" s="81" t="s">
        <v>2</v>
      </c>
    </row>
    <row r="25" spans="3:37" ht="150.75" thickBot="1">
      <c r="C25" s="4" t="s">
        <v>61</v>
      </c>
      <c r="D25" s="5" t="s">
        <v>5</v>
      </c>
      <c r="E25" s="5" t="s">
        <v>62</v>
      </c>
      <c r="F25" s="6" t="s">
        <v>33</v>
      </c>
      <c r="I25" s="13" t="s">
        <v>61</v>
      </c>
      <c r="J25" s="19" t="s">
        <v>5</v>
      </c>
      <c r="K25" s="19" t="s">
        <v>62</v>
      </c>
      <c r="L25" s="14" t="s">
        <v>33</v>
      </c>
      <c r="Z25" s="83" t="s">
        <v>101</v>
      </c>
      <c r="AA25" s="82" t="s">
        <v>102</v>
      </c>
      <c r="AB25" s="82" t="s">
        <v>103</v>
      </c>
    </row>
    <row r="26" spans="3:37" ht="105.75" thickBot="1">
      <c r="C26" s="10" t="s">
        <v>63</v>
      </c>
      <c r="D26" s="11" t="s">
        <v>64</v>
      </c>
      <c r="E26" s="11" t="s">
        <v>65</v>
      </c>
      <c r="F26" s="12" t="s">
        <v>66</v>
      </c>
      <c r="I26" s="15" t="s">
        <v>63</v>
      </c>
      <c r="J26" s="20" t="s">
        <v>64</v>
      </c>
      <c r="K26" s="20" t="s">
        <v>65</v>
      </c>
      <c r="L26" s="16" t="s">
        <v>66</v>
      </c>
      <c r="Z26" s="83" t="s">
        <v>104</v>
      </c>
      <c r="AA26" s="82">
        <v>3</v>
      </c>
      <c r="AB26" s="82" t="s">
        <v>105</v>
      </c>
    </row>
    <row r="27" spans="3:37" ht="180.75" thickBot="1">
      <c r="Z27" s="83" t="s">
        <v>106</v>
      </c>
      <c r="AA27" s="82">
        <v>1000</v>
      </c>
      <c r="AB27" s="82" t="s">
        <v>107</v>
      </c>
    </row>
    <row r="28" spans="3:37" s="58" customFormat="1" ht="30.75" customHeight="1" thickBot="1">
      <c r="J28" s="59"/>
      <c r="K28" s="59"/>
      <c r="M28" s="60"/>
      <c r="N28" s="61" t="s">
        <v>0</v>
      </c>
      <c r="O28" s="62" t="s">
        <v>86</v>
      </c>
      <c r="P28" s="62" t="s">
        <v>87</v>
      </c>
      <c r="Q28" s="63" t="s">
        <v>88</v>
      </c>
      <c r="R28" s="60"/>
      <c r="S28" s="60"/>
      <c r="T28" s="60"/>
      <c r="U28" s="60"/>
      <c r="V28" s="60"/>
      <c r="W28" s="60"/>
      <c r="X28" s="60"/>
      <c r="Y28" s="60"/>
      <c r="Z28" s="83" t="s">
        <v>108</v>
      </c>
      <c r="AA28" s="82">
        <v>6</v>
      </c>
      <c r="AB28" s="82" t="s">
        <v>109</v>
      </c>
      <c r="AC28" s="60"/>
      <c r="AD28" s="60"/>
      <c r="AE28" s="60"/>
      <c r="AF28" s="60"/>
      <c r="AG28" s="60"/>
      <c r="AH28" s="60"/>
      <c r="AI28" s="60"/>
      <c r="AJ28" s="60"/>
      <c r="AK28" s="60"/>
    </row>
    <row r="29" spans="3:37" ht="34.5" customHeight="1">
      <c r="N29" s="21" t="s">
        <v>4</v>
      </c>
      <c r="O29" s="22">
        <v>18</v>
      </c>
      <c r="P29" s="22">
        <v>100</v>
      </c>
      <c r="Q29" s="23" t="s">
        <v>89</v>
      </c>
      <c r="Z29" s="83" t="s">
        <v>110</v>
      </c>
      <c r="AA29" s="82">
        <v>0.05</v>
      </c>
      <c r="AB29" s="82" t="s">
        <v>111</v>
      </c>
    </row>
    <row r="30" spans="3:37" ht="30.75" customHeight="1">
      <c r="N30" s="13" t="s">
        <v>26</v>
      </c>
      <c r="O30" s="19">
        <v>0</v>
      </c>
      <c r="P30" s="19">
        <v>50</v>
      </c>
      <c r="Q30" s="14" t="s">
        <v>90</v>
      </c>
      <c r="Z30" s="83" t="s">
        <v>112</v>
      </c>
      <c r="AA30" s="82">
        <v>0.6</v>
      </c>
      <c r="AB30" s="82" t="s">
        <v>113</v>
      </c>
    </row>
    <row r="31" spans="3:37" ht="28.5" customHeight="1">
      <c r="N31" s="13" t="s">
        <v>17</v>
      </c>
      <c r="O31" s="19">
        <v>0</v>
      </c>
      <c r="P31" s="19">
        <v>20</v>
      </c>
      <c r="Q31" s="14" t="s">
        <v>90</v>
      </c>
      <c r="Z31" s="83" t="s">
        <v>114</v>
      </c>
      <c r="AA31" s="82">
        <v>0.8</v>
      </c>
      <c r="AB31" s="82" t="s">
        <v>115</v>
      </c>
    </row>
    <row r="32" spans="3:37" ht="29.25" customHeight="1">
      <c r="N32" s="13" t="s">
        <v>20</v>
      </c>
      <c r="O32" s="19">
        <v>0</v>
      </c>
      <c r="P32" s="19">
        <v>50</v>
      </c>
      <c r="Q32" s="14" t="s">
        <v>90</v>
      </c>
      <c r="Z32" s="83" t="s">
        <v>116</v>
      </c>
      <c r="AA32" s="82" t="s">
        <v>117</v>
      </c>
      <c r="AB32" s="82" t="s">
        <v>118</v>
      </c>
    </row>
    <row r="33" spans="14:28" ht="26.25" customHeight="1">
      <c r="N33" s="13" t="s">
        <v>23</v>
      </c>
      <c r="O33" s="19">
        <v>0</v>
      </c>
      <c r="P33" s="19">
        <v>100</v>
      </c>
      <c r="Q33" s="14" t="s">
        <v>90</v>
      </c>
      <c r="Z33" s="83" t="s">
        <v>119</v>
      </c>
      <c r="AA33" s="82">
        <v>42</v>
      </c>
      <c r="AB33" s="82" t="s">
        <v>120</v>
      </c>
    </row>
    <row r="34" spans="14:28" ht="19.5" customHeight="1" thickBot="1">
      <c r="N34" s="15" t="s">
        <v>48</v>
      </c>
      <c r="O34" s="20">
        <v>0.01</v>
      </c>
      <c r="P34" s="20" t="s">
        <v>33</v>
      </c>
      <c r="Q34" s="16" t="s">
        <v>91</v>
      </c>
    </row>
    <row r="35" spans="14:28" ht="15.75" thickBot="1"/>
    <row r="36" spans="14:28" ht="32.25" thickBot="1">
      <c r="N36" s="61" t="s">
        <v>0</v>
      </c>
      <c r="O36" s="62" t="s">
        <v>92</v>
      </c>
      <c r="P36" s="62" t="s">
        <v>93</v>
      </c>
      <c r="Q36" s="63" t="s">
        <v>94</v>
      </c>
    </row>
    <row r="37" spans="14:28">
      <c r="N37" s="21" t="s">
        <v>15</v>
      </c>
      <c r="O37" s="22">
        <v>15002</v>
      </c>
      <c r="P37" s="29">
        <v>0.15</v>
      </c>
      <c r="Q37" s="23" t="s">
        <v>95</v>
      </c>
    </row>
    <row r="38" spans="14:28">
      <c r="N38" s="13" t="s">
        <v>28</v>
      </c>
      <c r="O38" s="19">
        <v>11408</v>
      </c>
      <c r="P38" s="30">
        <v>0.11409999999999999</v>
      </c>
      <c r="Q38" s="14" t="s">
        <v>96</v>
      </c>
    </row>
    <row r="39" spans="14:28" ht="28.5" customHeight="1">
      <c r="N39" s="13" t="s">
        <v>41</v>
      </c>
      <c r="O39" s="19">
        <v>20195</v>
      </c>
      <c r="P39" s="30">
        <v>0.20200000000000001</v>
      </c>
      <c r="Q39" s="14" t="s">
        <v>97</v>
      </c>
    </row>
    <row r="40" spans="14:28" ht="22.5" customHeight="1">
      <c r="N40" s="13" t="s">
        <v>48</v>
      </c>
      <c r="O40" s="19">
        <v>9030</v>
      </c>
      <c r="P40" s="30">
        <v>9.0300000000000005E-2</v>
      </c>
      <c r="Q40" s="14" t="s">
        <v>95</v>
      </c>
    </row>
    <row r="41" spans="14:28" ht="25.5">
      <c r="N41" s="13" t="s">
        <v>34</v>
      </c>
      <c r="O41" s="19">
        <v>7002</v>
      </c>
      <c r="P41" s="30">
        <v>7.0000000000000007E-2</v>
      </c>
      <c r="Q41" s="14" t="s">
        <v>95</v>
      </c>
    </row>
    <row r="42" spans="14:28">
      <c r="N42" s="13" t="s">
        <v>56</v>
      </c>
      <c r="O42" s="19">
        <v>4479</v>
      </c>
      <c r="P42" s="30">
        <v>4.48E-2</v>
      </c>
      <c r="Q42" s="14" t="s">
        <v>95</v>
      </c>
    </row>
    <row r="43" spans="14:28">
      <c r="N43" s="13" t="s">
        <v>39</v>
      </c>
      <c r="O43" s="19">
        <v>1965</v>
      </c>
      <c r="P43" s="30">
        <v>1.9699999999999999E-2</v>
      </c>
      <c r="Q43" s="14" t="s">
        <v>95</v>
      </c>
    </row>
    <row r="44" spans="14:28" ht="15.75" thickBot="1">
      <c r="N44" s="15" t="s">
        <v>61</v>
      </c>
      <c r="O44" s="20">
        <v>1200</v>
      </c>
      <c r="P44" s="64">
        <v>1.2E-2</v>
      </c>
      <c r="Q44" s="16" t="s">
        <v>95</v>
      </c>
    </row>
    <row r="72" spans="27:29" ht="15.75" thickBot="1"/>
    <row r="73" spans="27:29" ht="15.75" thickBot="1">
      <c r="AA73" s="87" t="s">
        <v>98</v>
      </c>
      <c r="AB73" s="88"/>
      <c r="AC73" s="89"/>
    </row>
    <row r="74" spans="27:29" ht="15.75" thickBot="1">
      <c r="AA74" s="90" t="s">
        <v>99</v>
      </c>
      <c r="AB74" s="91" t="s">
        <v>100</v>
      </c>
      <c r="AC74" s="92" t="s">
        <v>2</v>
      </c>
    </row>
    <row r="75" spans="27:29" ht="75.75" customHeight="1" thickBot="1">
      <c r="AA75" s="84" t="s">
        <v>101</v>
      </c>
      <c r="AB75" s="85" t="s">
        <v>102</v>
      </c>
      <c r="AC75" s="86" t="s">
        <v>103</v>
      </c>
    </row>
    <row r="76" spans="27:29" ht="60.75" thickBot="1">
      <c r="AA76" s="93" t="s">
        <v>104</v>
      </c>
      <c r="AB76" s="94">
        <v>3</v>
      </c>
      <c r="AC76" s="95" t="s">
        <v>105</v>
      </c>
    </row>
    <row r="77" spans="27:29" ht="75.75" thickBot="1">
      <c r="AA77" s="84" t="s">
        <v>106</v>
      </c>
      <c r="AB77" s="85">
        <v>1000</v>
      </c>
      <c r="AC77" s="86" t="s">
        <v>107</v>
      </c>
    </row>
    <row r="78" spans="27:29" ht="60.75" thickBot="1">
      <c r="AA78" s="93" t="s">
        <v>108</v>
      </c>
      <c r="AB78" s="94">
        <v>6</v>
      </c>
      <c r="AC78" s="95" t="s">
        <v>109</v>
      </c>
    </row>
    <row r="79" spans="27:29" ht="75.75" thickBot="1">
      <c r="AA79" s="84" t="s">
        <v>110</v>
      </c>
      <c r="AB79" s="85">
        <v>0.05</v>
      </c>
      <c r="AC79" s="86" t="s">
        <v>111</v>
      </c>
    </row>
    <row r="80" spans="27:29" ht="60.75" thickBot="1">
      <c r="AA80" s="93" t="s">
        <v>112</v>
      </c>
      <c r="AB80" s="94">
        <v>0.6</v>
      </c>
      <c r="AC80" s="95" t="s">
        <v>113</v>
      </c>
    </row>
    <row r="81" spans="27:29" ht="81.75" customHeight="1" thickBot="1">
      <c r="AA81" s="93" t="s">
        <v>114</v>
      </c>
      <c r="AB81" s="94">
        <v>0.8</v>
      </c>
      <c r="AC81" s="95" t="s">
        <v>115</v>
      </c>
    </row>
    <row r="82" spans="27:29" ht="45.75" thickBot="1">
      <c r="AA82" s="84" t="s">
        <v>116</v>
      </c>
      <c r="AB82" s="85" t="s">
        <v>117</v>
      </c>
      <c r="AC82" s="86" t="s">
        <v>118</v>
      </c>
    </row>
    <row r="83" spans="27:29" ht="30.75" thickBot="1">
      <c r="AA83" s="93" t="s">
        <v>119</v>
      </c>
      <c r="AB83" s="94">
        <v>42</v>
      </c>
      <c r="AC83" s="95" t="s">
        <v>120</v>
      </c>
    </row>
  </sheetData>
  <mergeCells count="1">
    <mergeCell ref="AA73:AC7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433A-70C2-4148-A994-5A825DADF1DB}">
  <dimension ref="B4:H18"/>
  <sheetViews>
    <sheetView zoomScale="145" zoomScaleNormal="145" workbookViewId="0">
      <selection activeCell="E19" sqref="E19"/>
    </sheetView>
  </sheetViews>
  <sheetFormatPr baseColWidth="10" defaultRowHeight="15"/>
  <cols>
    <col min="1" max="1" width="24.5703125" style="28" customWidth="1"/>
    <col min="2" max="2" width="3.28515625" style="28" customWidth="1"/>
    <col min="3" max="3" width="21" style="28" customWidth="1"/>
    <col min="4" max="4" width="27" style="28" customWidth="1"/>
    <col min="5" max="5" width="13.7109375" style="28" customWidth="1"/>
    <col min="6" max="6" width="9.7109375" style="28" bestFit="1" customWidth="1"/>
    <col min="7" max="7" width="11.28515625" style="28" bestFit="1" customWidth="1"/>
    <col min="8" max="8" width="2.7109375" style="28" customWidth="1"/>
    <col min="9" max="16384" width="11.42578125" style="28"/>
  </cols>
  <sheetData>
    <row r="4" spans="2:8" ht="15.75" thickBot="1">
      <c r="B4" s="31"/>
      <c r="C4" s="31"/>
      <c r="D4" s="31"/>
      <c r="E4" s="31"/>
      <c r="F4" s="31"/>
      <c r="G4" s="31"/>
      <c r="H4" s="31"/>
    </row>
    <row r="5" spans="2:8" ht="20.25">
      <c r="B5" s="31"/>
      <c r="C5" s="32" t="s">
        <v>79</v>
      </c>
      <c r="D5" s="33"/>
      <c r="E5" s="33"/>
      <c r="F5" s="34"/>
      <c r="G5" s="35" t="s">
        <v>80</v>
      </c>
      <c r="H5" s="31"/>
    </row>
    <row r="6" spans="2:8">
      <c r="B6" s="31"/>
      <c r="C6" s="36" t="s">
        <v>82</v>
      </c>
      <c r="F6" s="37"/>
      <c r="G6" s="38" t="s">
        <v>81</v>
      </c>
      <c r="H6" s="31"/>
    </row>
    <row r="7" spans="2:8" ht="15.75" thickBot="1">
      <c r="B7" s="31"/>
      <c r="C7" s="39"/>
      <c r="F7" s="37"/>
      <c r="G7" s="40"/>
      <c r="H7" s="31"/>
    </row>
    <row r="8" spans="2:8" ht="15.75" thickBot="1">
      <c r="B8" s="31"/>
      <c r="C8" s="41" t="s">
        <v>67</v>
      </c>
      <c r="D8" s="42"/>
      <c r="E8" s="42" t="s">
        <v>83</v>
      </c>
      <c r="F8" s="42" t="s">
        <v>68</v>
      </c>
      <c r="G8" s="43" t="s">
        <v>69</v>
      </c>
      <c r="H8" s="31"/>
    </row>
    <row r="9" spans="2:8" ht="15.75" customHeight="1">
      <c r="B9" s="31"/>
      <c r="C9" s="44" t="s">
        <v>71</v>
      </c>
      <c r="D9" s="65">
        <v>0.53169999999999995</v>
      </c>
      <c r="E9" s="65">
        <v>0.53169999999999995</v>
      </c>
      <c r="F9" s="45">
        <v>53174</v>
      </c>
      <c r="G9" s="77">
        <v>0.53169999999999995</v>
      </c>
      <c r="H9" s="31"/>
    </row>
    <row r="10" spans="2:8">
      <c r="B10" s="31"/>
      <c r="C10" s="46" t="s">
        <v>72</v>
      </c>
      <c r="D10" s="66"/>
      <c r="E10" s="66"/>
      <c r="F10" s="47" t="s">
        <v>85</v>
      </c>
      <c r="G10" s="78"/>
      <c r="H10" s="31"/>
    </row>
    <row r="11" spans="2:8" ht="15.75" customHeight="1">
      <c r="B11" s="31"/>
      <c r="C11" s="48" t="s">
        <v>73</v>
      </c>
      <c r="D11" s="66">
        <v>0.28999999999999998</v>
      </c>
      <c r="E11" s="73">
        <v>0.28999999999999998</v>
      </c>
      <c r="F11" s="49">
        <v>28998</v>
      </c>
      <c r="G11" s="76">
        <v>0.28999999999999998</v>
      </c>
      <c r="H11" s="31"/>
    </row>
    <row r="12" spans="2:8">
      <c r="B12" s="31"/>
      <c r="C12" s="50" t="s">
        <v>74</v>
      </c>
      <c r="D12" s="66"/>
      <c r="E12" s="73"/>
      <c r="F12" s="51" t="s">
        <v>85</v>
      </c>
      <c r="G12" s="76"/>
      <c r="H12" s="31"/>
    </row>
    <row r="13" spans="2:8" ht="15.75" customHeight="1">
      <c r="B13" s="31"/>
      <c r="C13" s="52" t="s">
        <v>75</v>
      </c>
      <c r="D13" s="67">
        <v>0.17799999999999999</v>
      </c>
      <c r="E13" s="67">
        <v>0.17829999999999999</v>
      </c>
      <c r="F13" s="53">
        <v>17828</v>
      </c>
      <c r="G13" s="74">
        <v>0.17829999999999999</v>
      </c>
      <c r="H13" s="31"/>
    </row>
    <row r="14" spans="2:8" ht="15.75" thickBot="1">
      <c r="B14" s="31"/>
      <c r="C14" s="54" t="s">
        <v>76</v>
      </c>
      <c r="D14" s="68"/>
      <c r="E14" s="68"/>
      <c r="F14" s="55" t="s">
        <v>85</v>
      </c>
      <c r="G14" s="75"/>
      <c r="H14" s="31"/>
    </row>
    <row r="15" spans="2:8">
      <c r="B15" s="31"/>
      <c r="C15" s="57"/>
      <c r="D15" s="79" t="s">
        <v>84</v>
      </c>
      <c r="E15" s="69"/>
      <c r="F15" s="69"/>
      <c r="G15" s="70"/>
      <c r="H15" s="31"/>
    </row>
    <row r="16" spans="2:8" ht="21" customHeight="1" thickBot="1">
      <c r="B16" s="31"/>
      <c r="C16" s="56"/>
      <c r="D16" s="80"/>
      <c r="E16" s="71"/>
      <c r="F16" s="71"/>
      <c r="G16" s="72"/>
      <c r="H16" s="31"/>
    </row>
    <row r="17" spans="2:8">
      <c r="B17" s="31"/>
      <c r="C17" s="31"/>
      <c r="D17" s="31"/>
      <c r="E17" s="31"/>
      <c r="F17" s="31"/>
      <c r="G17" s="31"/>
      <c r="H17" s="31"/>
    </row>
    <row r="18" spans="2:8">
      <c r="B18" s="31"/>
      <c r="H18" s="31"/>
    </row>
  </sheetData>
  <mergeCells count="11">
    <mergeCell ref="D9:D10"/>
    <mergeCell ref="D11:D12"/>
    <mergeCell ref="D13:D14"/>
    <mergeCell ref="E15:G16"/>
    <mergeCell ref="E9:E10"/>
    <mergeCell ref="E11:E12"/>
    <mergeCell ref="E13:E14"/>
    <mergeCell ref="G13:G14"/>
    <mergeCell ref="G11:G12"/>
    <mergeCell ref="G9:G10"/>
    <mergeCell ref="D15:D16"/>
  </mergeCells>
  <conditionalFormatting sqref="D9:D10">
    <cfRule type="dataBar" priority="2">
      <dataBar showValue="0">
        <cfvo type="num" val="0"/>
        <cfvo type="num" val="0.9"/>
        <color theme="1" tint="0.34998626667073579"/>
      </dataBar>
      <extLst>
        <ext xmlns:x14="http://schemas.microsoft.com/office/spreadsheetml/2009/9/main" uri="{B025F937-C7B1-47D3-B67F-A62EFF666E3E}">
          <x14:id>{8BEB912C-FB92-4D50-81B8-B3FCCC6AC543}</x14:id>
        </ext>
      </extLst>
    </cfRule>
  </conditionalFormatting>
  <conditionalFormatting sqref="D11:D12">
    <cfRule type="dataBar" priority="3">
      <dataBar showValue="0">
        <cfvo type="num" val="0"/>
        <cfvo type="num" val="0.9"/>
        <color theme="1" tint="0.249977111117893"/>
      </dataBar>
      <extLst>
        <ext xmlns:x14="http://schemas.microsoft.com/office/spreadsheetml/2009/9/main" uri="{B025F937-C7B1-47D3-B67F-A62EFF666E3E}">
          <x14:id>{6CAF7C88-5149-48C3-ACF5-25165EBC6B95}</x14:id>
        </ext>
      </extLst>
    </cfRule>
  </conditionalFormatting>
  <conditionalFormatting sqref="D13:D14">
    <cfRule type="dataBar" priority="1">
      <dataBar showValue="0">
        <cfvo type="num" val="0"/>
        <cfvo type="num" val="0.9"/>
        <color theme="1" tint="0.14999847407452621"/>
      </dataBar>
      <extLst>
        <ext xmlns:x14="http://schemas.microsoft.com/office/spreadsheetml/2009/9/main" uri="{B025F937-C7B1-47D3-B67F-A62EFF666E3E}">
          <x14:id>{C68884AC-A284-4D62-9EA5-82228C2BAFF3}</x14:id>
        </ext>
      </extLst>
    </cfRule>
  </conditionalFormatting>
  <pageMargins left="0.7" right="0.7" top="0.75" bottom="0.75" header="0.3" footer="0.3"/>
  <ignoredErrors>
    <ignoredError sqref="G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EB912C-FB92-4D50-81B8-B3FCCC6AC543}">
            <x14:dataBar minLength="0" maxLength="100" gradient="0">
              <x14:cfvo type="num">
                <xm:f>0</xm:f>
              </x14:cfvo>
              <x14:cfvo type="num">
                <xm:f>0.9</xm:f>
              </x14:cfvo>
              <x14:negativeFillColor rgb="FFFF0000"/>
              <x14:axisColor rgb="FF000000"/>
            </x14:dataBar>
          </x14:cfRule>
          <xm:sqref>D9:D10</xm:sqref>
        </x14:conditionalFormatting>
        <x14:conditionalFormatting xmlns:xm="http://schemas.microsoft.com/office/excel/2006/main">
          <x14:cfRule type="dataBar" id="{6CAF7C88-5149-48C3-ACF5-25165EBC6B95}">
            <x14:dataBar minLength="0" maxLength="100" gradient="0">
              <x14:cfvo type="num">
                <xm:f>0</xm:f>
              </x14:cfvo>
              <x14:cfvo type="num">
                <xm:f>0.9</xm:f>
              </x14:cfvo>
              <x14:negativeFillColor rgb="FFFF0000"/>
              <x14:axisColor rgb="FF000000"/>
            </x14:dataBar>
          </x14:cfRule>
          <xm:sqref>D11:D12</xm:sqref>
        </x14:conditionalFormatting>
        <x14:conditionalFormatting xmlns:xm="http://schemas.microsoft.com/office/excel/2006/main">
          <x14:cfRule type="dataBar" id="{C68884AC-A284-4D62-9EA5-82228C2BAFF3}">
            <x14:dataBar minLength="0" maxLength="100" gradient="0">
              <x14:cfvo type="num">
                <xm:f>0</xm:f>
              </x14:cfvo>
              <x14:cfvo type="num">
                <xm:f>0.9</xm:f>
              </x14:cfvo>
              <x14:negativeFillColor rgb="FFFF0000"/>
              <x14:axisColor rgb="FF000000"/>
            </x14:dataBar>
          </x14:cfRule>
          <xm:sqref>D13:D14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MELCHOR SOTO, JOSE ARMANDO</dc:creator>
  <cp:lastModifiedBy>MELCHOR SOTO, JOSE ARMANDO</cp:lastModifiedBy>
  <dcterms:created xsi:type="dcterms:W3CDTF">2026-03-04T17:40:04Z</dcterms:created>
  <dcterms:modified xsi:type="dcterms:W3CDTF">2026-03-08T06:14:49Z</dcterms:modified>
</cp:coreProperties>
</file>